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5" activeTab="10"/>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L5" i="4" s="1"/>
  <c r="H3" i="2" a="1"/>
  <c r="H3" i="2" s="1"/>
  <c r="I3" i="2" s="1"/>
  <c r="K6" i="4" l="1" a="1"/>
  <c r="K6" i="4" s="1"/>
  <c r="M5" i="4"/>
  <c r="H4" i="2" a="1"/>
  <c r="H4" i="2" s="1"/>
  <c r="J3" i="2"/>
  <c r="K7" i="4" l="1" a="1"/>
  <c r="K7" i="4" s="1"/>
  <c r="L6" i="4"/>
  <c r="M6" i="4" s="1"/>
  <c r="H5" i="2" a="1"/>
  <c r="H5" i="2" s="1"/>
  <c r="H6" i="2" s="1" a="1"/>
  <c r="H6" i="2" s="1"/>
  <c r="I4" i="2"/>
  <c r="J4" i="2" s="1"/>
  <c r="L7" i="4" l="1"/>
  <c r="M7" i="4" s="1"/>
  <c r="K8" i="4"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<sst xmlns="http://schemas.openxmlformats.org/spreadsheetml/2006/main" count="598" uniqueCount="346">
  <si>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</si>
  <si>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</si>
  <si>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</si>
  <si>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</si>
  <si>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</si>
  <si>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</si>
  <si>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</si>
  <si>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</si>
  <si>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</si>
  <si>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</si>
  <si>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</si>
  <si>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</si>
  <si>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</si>
  <si>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</si>
  <si>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</si>
  <si>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</si>
  <si>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</si>
  <si>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</si>
  <si>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</si>
  <si>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</si>
  <si>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</si>
  <si>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</si>
  <si>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</si>
  <si>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</si>
  <si>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</si>
  <si>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</si>
  <si>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</si>
  <si>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</si>
  <si>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</si>
  <si>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</si>
  <si>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</si>
  <si>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</si>
  <si>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</si>
  <si>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</si>
  <si>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</si>
  <si>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</si>
  <si>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</si>
  <si>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</si>
  <si>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</si>
  <si>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</si>
  <si>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</si>
  <si>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</si>
  <si>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</si>
  <si>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</si>
  <si>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</si>
  <si>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</si>
  <si>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</si>
  <si>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</si>
  <si>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</si>
  <si>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</si>
  <si>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</si>
  <si>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</si>
  <si>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</si>
  <si>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</si>
  <si>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</si>
  <si>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</si>
  <si>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</si>
  <si>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</si>
  <si>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</si>
  <si>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</si>
  <si>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</si>
  <si>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</si>
  <si>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</si>
  <si>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</si>
  <si>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</si>
  <si>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</si>
  <si>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</si>
  <si>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</si>
  <si>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</si>
  <si>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</si>
  <si>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</si>
  <si>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</si>
  <si>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</si>
  <si>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</si>
  <si>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</si>
  <si>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</si>
  <si>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</si>
  <si>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</si>
  <si>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</si>
  <si>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</si>
  <si>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</si>
  <si>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</si>
  <si>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</si>
  <si>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</si>
  <si>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</si>
  <si>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</si>
  <si>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</si>
  <si>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</si>
  <si>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</si>
  <si>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</si>
  <si>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</si>
  <si>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</si>
  <si>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</si>
  <si>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</si>
  <si>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</si>
  <si>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</si>
  <si>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</si>
  <si>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</si>
  <si>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</si>
  <si>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</si>
  <si>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</si>
  <si>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</si>
  <si>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</si>
  <si>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</si>
  <si>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</si>
  <si>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</si>
  <si>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</si>
  <si>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</si>
  <si>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</si>
  <si>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</si>
  <si>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</si>
  <si>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</si>
  <si>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</si>
  <si>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</si>
  <si>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</si>
  <si>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</si>
  <si>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</si>
  <si>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</si>
  <si>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</si>
  <si>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</si>
  <si>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</si>
  <si>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</si>
  <si>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</si>
  <si>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</si>
  <si>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</si>
  <si>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</si>
  <si>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</si>
  <si>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</si>
  <si>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</si>
  <si>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</si>
  <si>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</si>
  <si>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</si>
  <si>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</si>
  <si>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</si>
  <si>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</si>
  <si>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</si>
  <si>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</si>
  <si>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</si>
  <si>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</si>
  <si>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</si>
  <si>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</si>
  <si>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</si>
  <si>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</si>
  <si>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</si>
  <si>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</si>
  <si>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</si>
  <si>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</si>
  <si>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</si>
  <si>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</si>
  <si>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</si>
  <si>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</si>
  <si>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</si>
  <si>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</si>
  <si>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</si>
  <si>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</si>
  <si>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</si>
  <si>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</si>
  <si>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</si>
  <si>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</si>
  <si>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</si>
  <si>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</si>
  <si>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</si>
  <si>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</si>
  <si>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</si>
  <si>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</si>
  <si>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</si>
  <si>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</si>
  <si>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</si>
  <si>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</si>
  <si>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</si>
  <si>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</si>
  <si>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</si>
  <si>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</si>
  <si>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</si>
  <si>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</si>
  <si>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</si>
  <si>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</si>
  <si>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</si>
  <si>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</si>
  <si>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</si>
  <si>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</si>
  <si>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</si>
  <si>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</si>
  <si>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</si>
  <si>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</si>
  <si>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</si>
  <si>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</si>
  <si>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</si>
  <si>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</si>
  <si>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</si>
  <si>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</si>
  <si>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</si>
  <si>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</si>
  <si>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</si>
  <si>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</si>
  <si>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</si>
  <si>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</si>
  <si>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</si>
  <si>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</si>
  <si>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</si>
  <si>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</si>
  <si>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</si>
  <si>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</si>
  <si>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</si>
  <si>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</si>
  <si>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</si>
  <si>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</si>
  <si>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</si>
  <si>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</si>
  <si>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</si>
  <si>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</si>
  <si>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</si>
  <si>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</si>
  <si>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</si>
  <si>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</si>
  <si>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</si>
  <si>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</si>
  <si>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</si>
  <si>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</si>
  <si>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</si>
  <si>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</si>
  <si>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</si>
  <si>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</si>
  <si>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</si>
  <si>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</si>
  <si>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</si>
  <si>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</si>
  <si>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</si>
  <si>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</si>
  <si>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</si>
  <si>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</si>
  <si>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</si>
  <si>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</si>
  <si>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</si>
  <si>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</si>
  <si>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</si>
  <si>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</si>
  <si>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</si>
  <si>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</si>
  <si>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</si>
  <si>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</si>
  <si>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</si>
  <si>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</si>
  <si>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</si>
  <si>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</si>
  <si>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</si>
  <si>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</si>
  <si>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</si>
  <si>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</si>
  <si>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</si>
  <si>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</si>
  <si>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</si>
  <si>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</si>
  <si>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</si>
  <si>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</si>
  <si>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</si>
  <si>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</si>
  <si>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</si>
  <si>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</si>
  <si>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</si>
  <si>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</si>
  <si>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</si>
  <si>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</si>
  <si>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</si>
  <si>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</si>
  <si>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</si>
  <si>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</si>
  <si>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</si>
  <si>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</si>
  <si>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</si>
  <si>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</si>
  <si>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</si>
  <si>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</si>
  <si>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</si>
  <si>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</si>
  <si>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</si>
  <si>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</si>
  <si>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</si>
  <si>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</si>
  <si>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</si>
  <si>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</si>
  <si>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</si>
  <si>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</si>
  <si>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</si>
  <si>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</si>
  <si>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</si>
  <si>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</si>
  <si>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</si>
  <si>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</si>
  <si>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</si>
  <si>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</si>
  <si>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</si>
  <si>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</si>
  <si>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</si>
  <si>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</si>
  <si>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TAFPipe1</t>
  </si>
  <si>
    <t>TAFPipe2</t>
  </si>
  <si>
    <t>TAFPipe3</t>
  </si>
  <si>
    <t>TAFD</t>
  </si>
  <si>
    <t>AllPermEmployees</t>
  </si>
  <si>
    <t>PermEmployee</t>
  </si>
  <si>
    <t>customer</t>
  </si>
  <si>
    <t>accts</t>
  </si>
  <si>
    <t>checking_tran</t>
  </si>
  <si>
    <t>TAFPipe4</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</si>
  <si>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</si>
  <si>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</si>
  <si>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</si>
  <si>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</si>
  <si>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</si>
  <si>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</si>
  <si>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</si>
  <si>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</si>
  <si>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</si>
  <si>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</si>
  <si>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</si>
  <si>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</si>
  <si>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</si>
  <si>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</si>
  <si>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</si>
  <si>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</si>
  <si>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</si>
  <si>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</si>
  <si>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</si>
  <si>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</si>
  <si>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</si>
  <si>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test_tbl</t>
  </si>
  <si>
    <t>stream_id</t>
  </si>
  <si>
    <t>integration</t>
  </si>
  <si>
    <t>employee</t>
  </si>
  <si>
    <t>PK_COL</t>
  </si>
  <si>
    <t>integration|employee</t>
  </si>
  <si>
    <t>Partial</t>
  </si>
  <si>
    <t>START_DATE</t>
  </si>
  <si>
    <t>TAFD_DB1|ACCS_DVC_STS</t>
  </si>
  <si>
    <t>TAFD_DB1</t>
  </si>
  <si>
    <t>ACCS_DVC_STS</t>
  </si>
  <si>
    <t>END_DATE</t>
  </si>
  <si>
    <t/>
  </si>
  <si>
    <t>Full</t>
  </si>
  <si>
    <t>src_tbl</t>
  </si>
  <si>
    <t>surr_key_tbl</t>
  </si>
  <si>
    <t>src_key1,src_key2</t>
  </si>
  <si>
    <t>surr_key</t>
  </si>
  <si>
    <t>concat_src_key</t>
  </si>
  <si>
    <r>
      <t>select</t>
    </r>
    <r>
      <rPr>
        <sz val="10"/>
        <rFont val="Arial Unicode MS"/>
        <family val="2"/>
      </rPr>
      <t xml:space="preserve"> tafd_db.src_tbl.src_key1 || '_' || tafd_db.src_tbl.src_key2</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</si>
</sst>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49">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0" t="s">
        <v>114</v>
      </c>
      <c r="C14" s="131"/>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2" t="s">
        <v>115</v>
      </c>
      <c r="C31" s="133"/>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2" t="s">
        <v>116</v>
      </c>
      <c r="C40" s="133"/>
    </row>
    <row r="41" spans="1:4" x14ac:dyDescent="0.25">
      <c r="B41" s="18" t="s">
        <v>110</v>
      </c>
      <c r="C41" s="18" t="s">
        <v>91</v>
      </c>
    </row>
    <row r="42" spans="1:4" ht="225" x14ac:dyDescent="0.25">
      <c r="B42" s="32" t="s">
        <v>156</v>
      </c>
      <c r="C42" s="20" t="s">
        <v>157</v>
      </c>
      <c r="D42" s="23"/>
    </row>
    <row r="44" spans="1:4" ht="17.25" x14ac:dyDescent="0.3">
      <c r="B44" s="132" t="s">
        <v>117</v>
      </c>
      <c r="C44" s="133"/>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0" t="s">
        <v>118</v>
      </c>
      <c r="C64" s="131"/>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2" t="s">
        <v>120</v>
      </c>
      <c r="C74" s="133"/>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0" t="s">
        <v>121</v>
      </c>
      <c r="C86" s="131"/>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0" t="s">
        <v>119</v>
      </c>
      <c r="C99" s="131"/>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7" sqref="B7"/>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293</v>
      </c>
      <c r="C2" s="134" t="s">
        <v>218</v>
      </c>
    </row>
    <row r="3" spans="1:26" x14ac:dyDescent="0.25">
      <c r="A3" s="48" t="s">
        <v>92</v>
      </c>
      <c r="B3" s="49" t="s">
        <v>298</v>
      </c>
      <c r="C3" s="135"/>
      <c r="D3" s="50"/>
      <c r="F3" s="5" t="s">
        <v>220</v>
      </c>
    </row>
    <row r="4" spans="1:26" x14ac:dyDescent="0.25">
      <c r="A4" s="48" t="s">
        <v>186</v>
      </c>
      <c r="B4" s="49" t="s">
        <v>294</v>
      </c>
      <c r="C4" s="135"/>
      <c r="G4" s="5" t="s">
        <v>221</v>
      </c>
    </row>
    <row r="5" spans="1:26" ht="15.75" thickBot="1" x14ac:dyDescent="0.3">
      <c r="A5" s="51" t="s">
        <v>187</v>
      </c>
      <c r="B5" s="124" t="s">
        <v>294</v>
      </c>
      <c r="C5" s="136"/>
      <c r="G5" s="5" t="s">
        <v>221</v>
      </c>
      <c r="Z5" s="52"/>
    </row>
    <row r="6" spans="1:26" thickBot="1" x14ac:dyDescent="0.35">
      <c r="A6" s="83"/>
      <c r="B6" s="84"/>
      <c r="C6" s="81"/>
      <c r="D6" s="82"/>
      <c r="G6" s="5" t="s">
        <v>221</v>
      </c>
    </row>
    <row r="7" spans="1:26" thickBot="1" x14ac:dyDescent="0.35">
      <c r="A7" s="53" t="s">
        <v>188</v>
      </c>
      <c r="B7" s="54">
        <v>6</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37" t="s">
        <v>223</v>
      </c>
      <c r="D11" s="15"/>
      <c r="F11" s="15"/>
      <c r="G11" s="15"/>
      <c r="H11" s="15"/>
      <c r="I11" s="15"/>
    </row>
    <row r="12" spans="1:26" ht="15.75" thickBot="1" x14ac:dyDescent="0.3">
      <c r="A12" s="57" t="s">
        <v>191</v>
      </c>
      <c r="B12" s="107"/>
      <c r="C12" s="138"/>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thickBot="1" x14ac:dyDescent="0.35">
      <c r="A16" s="42" t="s">
        <v>193</v>
      </c>
      <c r="B16" s="61" t="s">
        <v>199</v>
      </c>
      <c r="C16" s="63" t="s">
        <v>225</v>
      </c>
      <c r="D16" s="50"/>
    </row>
    <row r="17" spans="1:4" thickBot="1" x14ac:dyDescent="0.35">
      <c r="A17" s="100"/>
      <c r="B17" s="94"/>
      <c r="C17" s="15"/>
      <c r="D17" s="82"/>
    </row>
    <row r="18" spans="1:4" x14ac:dyDescent="0.25">
      <c r="A18" s="101" t="s">
        <v>173</v>
      </c>
      <c r="B18" s="47" t="s">
        <v>293</v>
      </c>
      <c r="C18" s="140" t="s">
        <v>230</v>
      </c>
    </row>
    <row r="19" spans="1:4" x14ac:dyDescent="0.25">
      <c r="A19" s="48" t="s">
        <v>174</v>
      </c>
      <c r="B19" s="120" t="s">
        <v>294</v>
      </c>
      <c r="C19" s="141"/>
    </row>
    <row r="20" spans="1:4" ht="15.75" thickBot="1" x14ac:dyDescent="0.3">
      <c r="A20" s="102" t="s">
        <v>175</v>
      </c>
      <c r="B20" s="125" t="s">
        <v>294</v>
      </c>
      <c r="C20" s="142"/>
    </row>
    <row r="21" spans="1:4" thickBot="1" x14ac:dyDescent="0.35">
      <c r="A21" s="95"/>
      <c r="B21" s="96"/>
      <c r="C21" s="93"/>
      <c r="D21" s="82"/>
    </row>
    <row r="22" spans="1:4" thickBot="1" x14ac:dyDescent="0.35">
      <c r="A22" s="103" t="s">
        <v>213</v>
      </c>
      <c r="B22" s="74" t="s">
        <v>214</v>
      </c>
      <c r="C22" s="118" t="s">
        <v>231</v>
      </c>
      <c r="D22" s="115"/>
    </row>
    <row r="23" spans="1:4" thickBot="1" x14ac:dyDescent="0.35">
      <c r="A23" s="95"/>
      <c r="B23" s="64"/>
      <c r="C23" s="90"/>
      <c r="D23" s="82"/>
    </row>
    <row r="24" spans="1:4" x14ac:dyDescent="0.25">
      <c r="A24" s="101" t="s">
        <v>176</v>
      </c>
      <c r="B24" s="119"/>
      <c r="C24" s="143" t="s">
        <v>232</v>
      </c>
    </row>
    <row r="25" spans="1:4" x14ac:dyDescent="0.25">
      <c r="A25" s="48" t="s">
        <v>177</v>
      </c>
      <c r="B25" s="120"/>
      <c r="C25" s="144"/>
    </row>
    <row r="26" spans="1:4" ht="15.75" thickBot="1" x14ac:dyDescent="0.3">
      <c r="A26" s="102" t="s">
        <v>178</v>
      </c>
      <c r="B26" s="96"/>
      <c r="C26" s="145"/>
    </row>
    <row r="27" spans="1:4" ht="15.75" thickBot="1" x14ac:dyDescent="0.3">
      <c r="A27" s="95"/>
      <c r="B27" s="89"/>
      <c r="C27" s="87"/>
    </row>
    <row r="28" spans="1:4" x14ac:dyDescent="0.25">
      <c r="A28" s="75" t="s">
        <v>181</v>
      </c>
      <c r="B28" s="97" t="s">
        <v>194</v>
      </c>
      <c r="C28" s="137" t="s">
        <v>219</v>
      </c>
    </row>
    <row r="29" spans="1:4" ht="14.45" customHeight="1" x14ac:dyDescent="0.25">
      <c r="A29" s="76" t="s">
        <v>182</v>
      </c>
      <c r="B29" s="98" t="s">
        <v>195</v>
      </c>
      <c r="C29" s="139"/>
    </row>
    <row r="30" spans="1:4" x14ac:dyDescent="0.25">
      <c r="A30" s="76" t="s">
        <v>183</v>
      </c>
      <c r="B30" s="98" t="s">
        <v>196</v>
      </c>
      <c r="C30" s="139"/>
    </row>
    <row r="31" spans="1:4" ht="15.75" thickBot="1" x14ac:dyDescent="0.3">
      <c r="A31" s="77" t="s">
        <v>184</v>
      </c>
      <c r="B31" s="99" t="s">
        <v>197</v>
      </c>
      <c r="C31" s="138"/>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180</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6"/>
  <sheetViews>
    <sheetView zoomScaleNormal="100" workbookViewId="0">
      <selection activeCell="C6" sqref="C6"/>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295</v>
      </c>
      <c r="D2" s="127" t="s">
        <v>298</v>
      </c>
      <c r="E2" s="129" t="s">
        <v>301</v>
      </c>
      <c r="F2" s="128">
        <v>1</v>
      </c>
      <c r="G2" s="127" t="s">
        <v>298</v>
      </c>
      <c r="H2" s="129" t="s">
        <v>301</v>
      </c>
      <c r="I2" s="128">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295</v>
      </c>
      <c r="D3" s="127" t="s">
        <v>298</v>
      </c>
      <c r="E3" s="129" t="s">
        <v>302</v>
      </c>
      <c r="F3" s="128">
        <v>1</v>
      </c>
      <c r="G3" s="127" t="s">
        <v>298</v>
      </c>
      <c r="H3" s="129" t="s">
        <v>302</v>
      </c>
      <c r="I3" s="128">
        <v>1</v>
      </c>
      <c r="J3" s="9" t="s">
        <v>71</v>
      </c>
      <c r="K3" s="4" t="s">
        <v>0</v>
      </c>
      <c r="L3" s="4" t="s">
        <v>0</v>
      </c>
      <c r="M3" s="4" t="s">
        <v>0</v>
      </c>
      <c r="N3" s="4" t="s">
        <v>0</v>
      </c>
      <c r="O3" s="4" t="s">
        <v>0</v>
      </c>
      <c r="P3" s="4" t="s">
        <v>71</v>
      </c>
    </row>
    <row r="4" spans="1:44" x14ac:dyDescent="0.25">
      <c r="A4" s="6">
        <v>1</v>
      </c>
      <c r="B4" s="6">
        <v>1</v>
      </c>
      <c r="C4" s="6" t="s">
        <v>296</v>
      </c>
      <c r="D4" s="127" t="s">
        <v>298</v>
      </c>
      <c r="E4" s="129" t="s">
        <v>299</v>
      </c>
      <c r="F4" s="128">
        <v>1</v>
      </c>
      <c r="G4" s="127" t="s">
        <v>298</v>
      </c>
      <c r="H4" s="129" t="s">
        <v>299</v>
      </c>
      <c r="I4" s="128">
        <v>1</v>
      </c>
      <c r="J4" s="9" t="s">
        <v>71</v>
      </c>
      <c r="K4" s="4" t="s">
        <v>0</v>
      </c>
      <c r="L4" s="4" t="s">
        <v>0</v>
      </c>
      <c r="M4" s="4" t="s">
        <v>0</v>
      </c>
      <c r="N4" s="4" t="s">
        <v>0</v>
      </c>
      <c r="O4" s="4" t="s">
        <v>0</v>
      </c>
      <c r="P4" s="4" t="s">
        <v>71</v>
      </c>
    </row>
    <row r="5" spans="1:44" x14ac:dyDescent="0.25">
      <c r="A5" s="6">
        <v>1</v>
      </c>
      <c r="B5" s="6">
        <v>1</v>
      </c>
      <c r="C5" s="6" t="s">
        <v>297</v>
      </c>
      <c r="D5" s="127" t="s">
        <v>298</v>
      </c>
      <c r="E5" s="129" t="s">
        <v>300</v>
      </c>
      <c r="F5" s="128">
        <v>1</v>
      </c>
      <c r="G5" s="127" t="s">
        <v>298</v>
      </c>
      <c r="H5" s="129" t="s">
        <v>300</v>
      </c>
      <c r="I5" s="128">
        <v>1</v>
      </c>
      <c r="J5" s="9" t="s">
        <v>71</v>
      </c>
      <c r="K5" s="4" t="s">
        <v>0</v>
      </c>
      <c r="L5" s="4" t="s">
        <v>0</v>
      </c>
      <c r="M5" s="4" t="s">
        <v>0</v>
      </c>
      <c r="N5" s="4" t="s">
        <v>0</v>
      </c>
      <c r="O5" s="4" t="s">
        <v>0</v>
      </c>
      <c r="P5" s="4" t="s">
        <v>71</v>
      </c>
    </row>
    <row r="6" spans="1:44" x14ac:dyDescent="0.25">
      <c r="A6" s="6">
        <v>1</v>
      </c>
      <c r="B6" s="6">
        <v>1</v>
      </c>
      <c r="C6" s="6" t="s">
        <v>304</v>
      </c>
      <c r="D6" s="127" t="s">
        <v>298</v>
      </c>
      <c r="E6" s="129" t="s">
        <v>303</v>
      </c>
      <c r="F6" s="128">
        <v>1</v>
      </c>
      <c r="G6" s="127" t="s">
        <v>298</v>
      </c>
      <c r="H6" s="129" t="s">
        <v>303</v>
      </c>
      <c r="I6" s="128">
        <v>1</v>
      </c>
      <c r="J6" s="9" t="s">
        <v>71</v>
      </c>
      <c r="K6" s="4" t="s">
        <v>0</v>
      </c>
      <c r="L6" s="4" t="s">
        <v>0</v>
      </c>
      <c r="M6" s="4" t="s">
        <v>0</v>
      </c>
      <c r="N6" s="4" t="s">
        <v>0</v>
      </c>
      <c r="O6" s="4" t="s">
        <v>0</v>
      </c>
      <c r="P6" s="4" t="s">
        <v>71</v>
      </c>
    </row>
    <row r="12" spans="1:44" x14ac:dyDescent="0.25">
      <c r="E12" s="5"/>
    </row>
    <row r="13" spans="1:44" x14ac:dyDescent="0.25">
      <c r="E13" s="5"/>
    </row>
    <row r="14" spans="1:44" x14ac:dyDescent="0.25">
      <c r="E14" s="5"/>
    </row>
    <row r="15" spans="1:44" x14ac:dyDescent="0.25">
      <c r="E15" s="5"/>
    </row>
    <row r="16" spans="1:44" x14ac:dyDescent="0.25">
      <c r="E16" s="5"/>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305</v>
      </c>
      <c r="E2" s="6" t="s">
        <v>306</v>
      </c>
      <c r="F2" s="129" t="s">
        <v>307</v>
      </c>
      <c r="G2" s="6" t="s">
        <v>306</v>
      </c>
      <c r="H2" s="6" t="s">
        <v>308</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309</v>
      </c>
      <c r="C2" s="6" t="s">
        <v>310</v>
      </c>
      <c r="D2" s="6" t="s">
        <v>311</v>
      </c>
      <c r="E2" s="6" t="s">
        <v>312</v>
      </c>
      <c r="F2" s="6"/>
      <c r="G2" s="6" t="s">
        <v>313</v>
      </c>
    </row>
    <row r="3" spans="1:7" s="5" customFormat="1" x14ac:dyDescent="0.25">
      <c r="A3" s="6" t="s">
        <v>32</v>
      </c>
      <c r="B3" s="6" t="s">
        <v>309</v>
      </c>
      <c r="C3" s="6" t="s">
        <v>314</v>
      </c>
      <c r="D3" s="6" t="s">
        <v>315</v>
      </c>
      <c r="E3" s="6" t="s">
        <v>316</v>
      </c>
      <c r="F3" s="6"/>
      <c r="G3" s="6" t="s">
        <v>317</v>
      </c>
    </row>
    <row r="4" spans="1:7" s="5" customFormat="1" x14ac:dyDescent="0.25">
      <c r="A4" s="6" t="s">
        <v>36</v>
      </c>
      <c r="B4" s="6" t="s">
        <v>309</v>
      </c>
      <c r="C4" s="146" t="s">
        <v>318</v>
      </c>
      <c r="D4" s="6" t="s">
        <v>311</v>
      </c>
      <c r="E4" s="6" t="s">
        <v>312</v>
      </c>
      <c r="F4" s="6"/>
      <c r="G4" s="6" t="s">
        <v>319</v>
      </c>
    </row>
    <row r="5" spans="1:7" s="5" customFormat="1" x14ac:dyDescent="0.25">
      <c r="A5" s="6" t="s">
        <v>320</v>
      </c>
      <c r="B5" s="6" t="s">
        <v>309</v>
      </c>
      <c r="C5" s="146" t="s">
        <v>321</v>
      </c>
      <c r="D5" s="6" t="s">
        <v>322</v>
      </c>
      <c r="E5" s="6" t="s">
        <v>316</v>
      </c>
      <c r="F5" s="6"/>
      <c r="G5" s="6" t="s">
        <v>313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47">
        <v>1</v>
      </c>
      <c r="B2" s="147">
        <v>1</v>
      </c>
      <c r="C2" s="19" t="s">
        <v>36</v>
      </c>
      <c r="D2" s="6" t="s">
        <v>309</v>
      </c>
      <c r="E2" s="6" t="s">
        <v>310</v>
      </c>
      <c r="F2" s="6" t="s">
        <v>323</v>
      </c>
      <c r="G2" s="65" t="str">
        <f>D2&amp;"|"&amp;E2</f>
        <v>tafd_db|try_tbl</v>
      </c>
      <c r="H2" s="65" t="str">
        <f t="array" ref="H2">IFERROR(INDEX($G$2:$G$2000,MATCH(0,COUNTIF($H$1:H1,$G$2:$G$2000),0)),"")</f>
        <v>tafd_db|try_tbl</v>
      </c>
      <c r="I2" s="6" t="str">
        <f>IFERROR(LEFT(H2,FIND("|",H2)-1),"")</f>
        <v>tafd_db</v>
      </c>
      <c r="J2" s="6" t="str">
        <f>IFERROR(MID(H2,LEN(I2)+2,255),"")</f>
        <v>try_tbl</v>
      </c>
      <c r="K2" s="6" t="s">
        <v>324</v>
      </c>
      <c r="L2" s="6" t="s">
        <v>0</v>
      </c>
      <c r="M2" s="6" t="s">
        <v>325</v>
      </c>
    </row>
    <row r="3" spans="1:18" ht="14.45" x14ac:dyDescent="0.3">
      <c r="G3" s="65" t="str">
        <f t="shared" ref="G2:G53" si="0">D3&amp;"|"&amp;E3</f>
        <v>|</v>
      </c>
      <c r="H3" s="65" t="str">
        <f t="array" ref="H3">IFERROR(INDEX($G$2:$G$1987,MATCH(0,COUNTIF($H$1:H2,$G$2:$G$1987),0)),"")</f>
        <v>|</v>
      </c>
      <c r="I3" s="5" t="str">
        <f t="shared" ref="I2:I53" si="1">IFERROR(LEFT(H3,FIND("|",H3)-1),"")</f>
        <v/>
      </c>
      <c r="J3" s="5" t="str">
        <f t="shared" ref="J2: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9" sqref="D9"/>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309</v>
      </c>
      <c r="E2" s="6" t="s">
        <v>326</v>
      </c>
      <c r="F2" s="148" t="s">
        <v>327</v>
      </c>
      <c r="G2" s="6" t="s">
        <v>309</v>
      </c>
      <c r="H2" s="6" t="s">
        <v>326</v>
      </c>
      <c r="I2" s="6" t="s">
        <v>327</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workbookViewId="0">
      <selection activeCell="C13" sqref="C1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328</v>
      </c>
      <c r="E2" s="6" t="s">
        <v>329</v>
      </c>
      <c r="F2" s="6" t="s">
        <v>330</v>
      </c>
      <c r="G2" s="4" t="s">
        <v>0</v>
      </c>
      <c r="H2" s="4"/>
      <c r="I2" s="4"/>
      <c r="J2" s="65" t="s">
        <v>331</v>
      </c>
      <c r="K2" s="65" t="s">
        <v>331</v>
      </c>
      <c r="L2" s="4" t="s">
        <v>328</v>
      </c>
      <c r="M2" s="4" t="s">
        <v>329</v>
      </c>
      <c r="N2" s="4" t="s">
        <v>0</v>
      </c>
      <c r="O2" s="4" t="s">
        <v>0</v>
      </c>
      <c r="P2" s="4" t="s">
        <v>0</v>
      </c>
      <c r="Q2" s="4" t="s">
        <v>332</v>
      </c>
    </row>
    <row r="3" spans="1:18" s="5" customFormat="1" x14ac:dyDescent="0.25">
      <c r="A3" s="9">
        <v>1</v>
      </c>
      <c r="B3" s="9">
        <v>1</v>
      </c>
      <c r="C3" s="6" t="s">
        <v>31</v>
      </c>
      <c r="D3" s="6" t="s">
        <v>328</v>
      </c>
      <c r="E3" s="6" t="s">
        <v>329</v>
      </c>
      <c r="F3" s="6" t="s">
        <v>333</v>
      </c>
      <c r="G3" s="4"/>
      <c r="H3" s="4" t="s">
        <v>0</v>
      </c>
      <c r="I3" s="4"/>
      <c r="J3" s="65" t="s">
        <v>331</v>
      </c>
      <c r="K3" s="65" t="s">
        <v>334</v>
      </c>
      <c r="L3" s="4" t="s">
        <v>335</v>
      </c>
      <c r="M3" s="4" t="s">
        <v>336</v>
      </c>
      <c r="N3" s="4" t="s">
        <v>0</v>
      </c>
      <c r="O3" s="4" t="s">
        <v>0</v>
      </c>
      <c r="P3" s="4" t="s">
        <v>0</v>
      </c>
      <c r="Q3" s="4" t="s">
        <v>332</v>
      </c>
    </row>
    <row r="4" spans="1:18" s="5" customFormat="1" x14ac:dyDescent="0.25">
      <c r="A4" s="9">
        <v>1</v>
      </c>
      <c r="B4" s="9">
        <v>1</v>
      </c>
      <c r="C4" s="6" t="s">
        <v>31</v>
      </c>
      <c r="D4" s="6" t="s">
        <v>328</v>
      </c>
      <c r="E4" s="6" t="s">
        <v>329</v>
      </c>
      <c r="F4" s="6" t="s">
        <v>337</v>
      </c>
      <c r="G4" s="4"/>
      <c r="H4" s="4"/>
      <c r="I4" s="4" t="s">
        <v>0</v>
      </c>
      <c r="J4" s="65" t="s">
        <v>331</v>
      </c>
      <c r="K4" s="65" t="s">
        <v>64</v>
      </c>
      <c r="L4" s="5" t="s">
        <v>338</v>
      </c>
      <c r="M4" s="5" t="s">
        <v>338</v>
      </c>
    </row>
    <row r="5" spans="1:18" ht="14.45" x14ac:dyDescent="0.3">
      <c r="J5" s="65" t="str">
        <f t="shared" ref="J2:J57" si="0">D5&amp;"|"&amp;E5</f>
        <v>|</v>
      </c>
      <c r="K5" s="65" t="str">
        <f t="array" ref="K5">IFERROR(INDEX($J$2:$J$1991,MATCH(0,COUNTIF($K$1:K4,$J$2:$J$1991),0)),"")</f>
        <v/>
      </c>
      <c r="L5" s="5" t="str">
        <f t="shared" ref="L3:L57" si="1">IFERROR(LEFT(K5,FIND("|",K5)-1),"")</f>
        <v/>
      </c>
      <c r="M5" s="5" t="str">
        <f t="shared" ref="M3:M57" si="2">IFERROR(MID(K5,LEN(L5)+2,255),"")</f>
        <v/>
      </c>
    </row>
    <row r="6" spans="1:18" ht="14.45" x14ac:dyDescent="0.3">
      <c r="J6" s="65" t="str">
        <f t="shared" si="0"/>
        <v>|</v>
      </c>
      <c r="K6" s="65" t="str">
        <f t="array" ref="K6">IFERROR(INDEX($J$2:$J$1991,MATCH(0,COUNTIF($K$1:K5,$J$2:$J$1991),0)),"")</f>
        <v/>
      </c>
      <c r="L6" s="5" t="str">
        <f t="shared" si="1"/>
        <v/>
      </c>
      <c r="M6" s="5" t="str">
        <f t="shared" si="2"/>
        <v/>
      </c>
    </row>
    <row r="7" spans="1:18" ht="14.45" x14ac:dyDescent="0.3">
      <c r="J7" s="65" t="str">
        <f t="shared" si="0"/>
        <v>|</v>
      </c>
      <c r="K7" s="65" t="str">
        <f t="array" ref="K7">IFERROR(INDEX($J$2:$J$1991,MATCH(0,COUNTIF($K$1:K6,$J$2:$J$1991),0)),"")</f>
        <v/>
      </c>
      <c r="L7" s="5" t="str">
        <f t="shared" si="1"/>
        <v/>
      </c>
      <c r="M7" s="5" t="str">
        <f t="shared" si="2"/>
        <v/>
      </c>
    </row>
    <row r="8" spans="1:18" x14ac:dyDescent="0.25">
      <c r="J8" s="65" t="str">
        <f t="shared" si="0"/>
        <v>|</v>
      </c>
      <c r="K8" s="65" t="str">
        <f t="array" ref="K8">IFERROR(INDEX($J$2:$J$1991,MATCH(0,COUNTIF($K$1:K7,$J$2:$J$1991),0)),"")</f>
        <v/>
      </c>
      <c r="L8" s="5" t="str">
        <f t="shared" si="1"/>
        <v/>
      </c>
      <c r="M8" s="5" t="str">
        <f t="shared" si="2"/>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47">
        <v>1</v>
      </c>
      <c r="B2" s="147">
        <v>1</v>
      </c>
      <c r="C2" s="19" t="s">
        <v>31</v>
      </c>
      <c r="D2" s="19" t="s">
        <v>309</v>
      </c>
      <c r="E2" s="19" t="s">
        <v>310</v>
      </c>
      <c r="F2" s="19" t="s">
        <v>309</v>
      </c>
      <c r="G2" s="19" t="s">
        <v>310</v>
      </c>
      <c r="H2" s="19" t="s">
        <v>0</v>
      </c>
      <c r="I2" s="19" t="s">
        <v>0</v>
      </c>
      <c r="J2" s="19" t="s">
        <v>1</v>
      </c>
      <c r="K2" s="19" t="s">
        <v>339</v>
      </c>
      <c r="N2" s="6" t="s">
        <v>309</v>
      </c>
      <c r="O2" s="6" t="s">
        <v>310</v>
      </c>
      <c r="P2" s="6" t="s">
        <v>309</v>
      </c>
      <c r="Q2" s="6" t="s">
        <v>310</v>
      </c>
      <c r="R2" s="6" t="s">
        <v>323</v>
      </c>
      <c r="S2" s="6" t="s">
        <v>323</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tabSelected="1"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309</v>
      </c>
      <c r="E2" s="6" t="s">
        <v>340</v>
      </c>
      <c r="F2" s="6" t="s">
        <v>309</v>
      </c>
      <c r="G2" s="6" t="s">
        <v>341</v>
      </c>
      <c r="H2" s="6" t="s">
        <v>342</v>
      </c>
      <c r="I2" s="6" t="s">
        <v>343</v>
      </c>
      <c r="J2" s="6" t="s">
        <v>344</v>
      </c>
      <c r="K2" s="6" t="s">
        <v>345</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B14" sqref="B1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2017-11-24T09:29:26Z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